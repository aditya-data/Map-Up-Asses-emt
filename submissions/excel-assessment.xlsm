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nta\OneDrive\Desktop\MapUp\MapUp-Data-Assessment-F\"/>
    </mc:Choice>
  </mc:AlternateContent>
  <xr:revisionPtr revIDLastSave="0" documentId="13_ncr:1_{28255A88-74E6-4637-A7AE-456FCADF6E0E}" xr6:coauthVersionLast="47" xr6:coauthVersionMax="47" xr10:uidLastSave="{00000000-0000-0000-0000-000000000000}"/>
  <bookViews>
    <workbookView xWindow="-120" yWindow="-120" windowWidth="20730" windowHeight="1116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D6" i="18"/>
  <c r="E6" i="18"/>
  <c r="F6" i="18"/>
  <c r="C6" i="18"/>
  <c r="B6" i="18"/>
  <c r="F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<sst xmlns="http://schemas.openxmlformats.org/spreadsheetml/2006/main" count="409" uniqueCount="184">
  <si>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</si>
  <si>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</si>
  <si>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</si>
  <si>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</si>
  <si>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</si>
  <si>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</si>
  <si>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</si>
  <si>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</si>
  <si>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</si>
  <si>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</si>
  <si>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</si>
  <si>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</si>
  <si>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</si>
  <si>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</si>
  <si>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</si>
  <si>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</si>
  <si>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</si>
  <si>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</si>
  <si>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</si>
  <si>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</si>
  <si>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</si>
  <si>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</si>
  <si>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</si>
  <si>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</si>
  <si>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</si>
  <si>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</si>
  <si>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</si>
  <si>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</si>
  <si>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</si>
  <si>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</si>
  <si>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</si>
  <si>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</si>
  <si>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</si>
  <si>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</si>
  <si>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</si>
  <si>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</si>
  <si>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</si>
  <si>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</si>
  <si>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</si>
  <si>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</si>
  <si>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</si>
  <si>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</si>
  <si>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</si>
  <si>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</si>
  <si>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</si>
  <si>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</si>
  <si>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</si>
  <si>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</si>
  <si>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</si>
  <si>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</si>
  <si>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</si>
  <si>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</si>
  <si>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</si>
  <si>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</si>
  <si>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</si>
  <si>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</si>
  <si>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</si>
  <si>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</si>
  <si>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</si>
  <si>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</si>
  <si>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</si>
  <si>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</si>
  <si>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</si>
  <si>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</si>
  <si>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</si>
  <si>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</si>
  <si>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</si>
  <si>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</si>
  <si>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</si>
  <si>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</si>
  <si>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</si>
  <si>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</si>
  <si>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</si>
  <si>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</si>
  <si>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</si>
  <si>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</si>
  <si>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</si>
  <si>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</si>
  <si>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</si>
  <si>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</si>
  <si>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</si>
  <si>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</si>
  <si>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</si>
  <si>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</si>
  <si>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</si>
  <si>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</si>
  <si>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</si>
  <si>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</si>
  <si>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</si>
  <si>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</si>
  <si>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</si>
  <si>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</si>
  <si>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</si>
  <si>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</si>
  <si>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</si>
  <si>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</si>
  <si>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</si>
  <si>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</si>
  <si>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</si>
  <si>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</si>
  <si>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</si>
  <si>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</si>
  <si>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</si>
  <si>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</si>
  <si>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</si>
  <si>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</si>
  <si>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</si>
  <si>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</si>
  <si>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</si>
  <si>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</si>
  <si>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</si>
  <si>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</si>
  <si>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</si>
  <si>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</si>
  <si>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</si>
  <si>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</si>
  <si>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</si>
  <si>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</si>
  <si>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</si>
  <si>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</si>
  <si>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</si>
  <si>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</si>
  <si>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</si>
  <si>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</si>
  <si>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</si>
  <si>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</si>
  <si>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</si>
  <si>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</si>
  <si>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</si>
  <si>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</si>
  <si>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</si>
  <si>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</si>
  <si>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</si>
  <si>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</si>
  <si>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</si>
  <si>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</si>
  <si>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</si>
  <si>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</si>
  <si>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</si>
  <si>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</si>
  <si>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</si>
  <si>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</si>
  <si>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</si>
  <si>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</si>
  <si>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</si>
  <si>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</si>
  <si>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</si>
  <si>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</si>
  <si>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</si>
  <si>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</si>
  <si>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</si>
  <si>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</si>
  <si>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</si>
  <si>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</si>
  <si>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</si>
  <si>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</si>
  <si>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</si>
  <si>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</si>
  <si>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</si>
  <si>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</si>
  <si>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</si>
  <si>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</si>
  <si>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</si>
  <si>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</si>
  <si>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</si>
  <si>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</si>
  <si>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</si>
  <si>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</si>
  <si>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</si>
  <si>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</si>
  <si>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</si>
  <si>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</si>
  <si>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</si>
  <si>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</si>
  <si>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</si>
  <si>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</si>
  <si>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</si>
  <si>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</si>
  <si>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formula used : "SUMIF()" Tap on F3 to check</t>
  </si>
  <si>
    <t xml:space="preserve">Done </t>
  </si>
  <si>
    <t>11-07-2023+X23:X25</t>
  </si>
  <si>
    <t>""" =SUM(IFERROR(C12:C21, 20)) """</t>
  </si>
  <si>
    <t>It sums the column and in case any na found it replaces with 20.</t>
  </si>
  <si>
    <t>"=VLOOKUP(INDEX($N$10:$N$18, MATCH(A23, $M$10:$M$18, 0)), $A$10:$J$18, MATCH(INDEX($N$10:$N$18, MATCH(B23, $M$10:$M$18, 0)),$B$9:$J$9,0),FALSE)"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</si>
</sst>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dd\,\ d\ mmmm\ yyyy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20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sz val="24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7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8" fillId="6" borderId="1" xfId="0" applyFont="1" applyFill="1" applyBorder="1"/>
    <xf numFmtId="0" fontId="19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="136" zoomScaleNormal="136" workbookViewId="0">
      <selection activeCell="B15" sqref="B1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2" activePane="bottomLeft" state="frozen"/>
      <selection activeCell="B1" sqref="B1"/>
      <selection pane="bottomLeft" activeCell="V44" sqref="V44"/>
    </sheetView>
  </sheetViews>
  <sheetFormatPr defaultColWidth="12.1640625" defaultRowHeight="15" x14ac:dyDescent="0.25"/>
  <cols>
    <col min="1" max="1" width="37.5" style="1" customWidth="1"/>
    <col min="2" max="3" width="12.1640625" style="1"/>
    <col min="4" max="4" width="12.1640625" style="23"/>
    <col min="5" max="5" width="12.1640625" style="1"/>
    <col min="6" max="6" width="12.1640625" style="23"/>
    <col min="7" max="23" width="12.1640625" style="1"/>
    <col min="24" max="24" width="28.83203125" style="45" customWidth="1"/>
    <col min="25" max="16384" width="12.1640625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 t="s">
        <v>180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G1:W40">
    <cfRule type="expression" dxfId="1" priority="2">
      <formula>G1=-1</formula>
    </cfRule>
    <cfRule type="expression" dxfId="0" priority="1">
      <formula>G1=0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C9" sqref="C9"/>
    </sheetView>
  </sheetViews>
  <sheetFormatPr defaultColWidth="11" defaultRowHeight="15" x14ac:dyDescent="0.25"/>
  <cols>
    <col min="1" max="1" width="8.33203125" style="1" bestFit="1" customWidth="1"/>
    <col min="2" max="2" width="72.1640625" style="1" customWidth="1"/>
    <col min="3" max="3" width="79.33203125" style="1" customWidth="1"/>
    <col min="4" max="4" width="11" style="1"/>
    <col min="5" max="5" width="14.33203125" style="1" bestFit="1" customWidth="1"/>
    <col min="6" max="6" width="40.6640625" style="1" customWidth="1"/>
    <col min="7" max="16384" width="11" style="1"/>
  </cols>
  <sheetData>
    <row r="1" spans="1:6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6" x14ac:dyDescent="0.25">
      <c r="A2" s="2"/>
      <c r="B2" s="5" t="s">
        <v>160</v>
      </c>
      <c r="C2" s="2"/>
    </row>
    <row r="3" spans="1:6" x14ac:dyDescent="0.25">
      <c r="A3" s="6">
        <v>1</v>
      </c>
      <c r="B3" s="2" t="s">
        <v>107</v>
      </c>
      <c r="C3" s="2" t="s">
        <v>45</v>
      </c>
      <c r="E3" s="1">
        <v>5</v>
      </c>
      <c r="F3" s="1" t="s">
        <v>177</v>
      </c>
    </row>
    <row r="4" spans="1:6" x14ac:dyDescent="0.25">
      <c r="A4" s="6">
        <v>2</v>
      </c>
      <c r="B4" s="2" t="s">
        <v>46</v>
      </c>
      <c r="C4" s="2"/>
      <c r="E4" s="1">
        <v>5</v>
      </c>
      <c r="F4" s="1" t="s">
        <v>177</v>
      </c>
    </row>
    <row r="5" spans="1:6" ht="66.75" customHeight="1" x14ac:dyDescent="0.4">
      <c r="A5" s="6">
        <v>3</v>
      </c>
      <c r="B5" s="2" t="s">
        <v>104</v>
      </c>
      <c r="C5" s="43" t="s">
        <v>178</v>
      </c>
      <c r="E5" s="1">
        <v>10</v>
      </c>
      <c r="F5" s="1">
        <f>SUMIF(Dataset!$H:$H, "&gt;20", Dataset!$H:$H)</f>
        <v>1473.0000000000002</v>
      </c>
    </row>
    <row r="6" spans="1:6" ht="70.5" customHeight="1" x14ac:dyDescent="0.25">
      <c r="A6" s="6">
        <v>4</v>
      </c>
      <c r="B6" s="2" t="s">
        <v>106</v>
      </c>
      <c r="C6" s="2" t="s">
        <v>179</v>
      </c>
      <c r="E6" s="1">
        <v>5</v>
      </c>
      <c r="F6" s="1" t="s">
        <v>177</v>
      </c>
    </row>
    <row r="7" spans="1:6" x14ac:dyDescent="0.25">
      <c r="A7" s="2"/>
      <c r="B7" s="2"/>
      <c r="C7" s="2"/>
    </row>
    <row r="13" spans="1:6" x14ac:dyDescent="0.25">
      <c r="E13" s="2"/>
    </row>
    <row r="14" spans="1:6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2" zoomScaleNormal="100" workbookViewId="0">
      <selection activeCell="I10" sqref="I10"/>
    </sheetView>
  </sheetViews>
  <sheetFormatPr defaultColWidth="11" defaultRowHeight="12.75" x14ac:dyDescent="0.2"/>
  <cols>
    <col min="1" max="1" width="18.6640625" style="2" bestFit="1" customWidth="1"/>
    <col min="2" max="2" width="22.1640625" style="2" customWidth="1"/>
    <col min="3" max="6" width="15.33203125" style="2" customWidth="1"/>
    <col min="7" max="7" width="11" style="2"/>
    <col min="8" max="8" width="14.33203125" style="2" bestFit="1" customWidth="1"/>
    <col min="9" max="9" width="11" style="2"/>
    <col min="10" max="10" width="28.83203125" style="2" customWidth="1"/>
    <col min="11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VLOOKUP(Task_2!$A6, Dataset!$A$2:$X$40, MATCH(Task_2!B$5,Dataset!$A$1:$X$1, 0), FALSE)</f>
        <v>2.7</v>
      </c>
      <c r="C6" s="11">
        <f>VLOOKUP(Task_2!$A6, Dataset!$A$2:$X$40, MATCH(Task_2!C$5,Dataset!$A$1:$X$1, 0), FALSE)</f>
        <v>7.6</v>
      </c>
      <c r="D6" s="11">
        <f>VLOOKUP(Task_2!$A6, Dataset!$A$2:$X$40, MATCH(Task_2!D$5,Dataset!$A$1:$X$1, 0), FALSE)</f>
        <v>4.2</v>
      </c>
      <c r="E6" s="11">
        <f>VLOOKUP(Task_2!$A6, Dataset!$A$2:$X$40, MATCH(Task_2!E$5,Dataset!$A$1:$X$1, 0), FALSE)</f>
        <v>8.9</v>
      </c>
      <c r="F6" s="11">
        <f>VLOOKUP(Task_2!$A6, Dataset!$A$2:$X$40, MATCH(Task_2!F$5,Dataset!$A$1:$X$1, 0), FALSE)</f>
        <v>4.2</v>
      </c>
    </row>
    <row r="7" spans="1:7" ht="15" x14ac:dyDescent="0.25">
      <c r="A7" s="7" t="s">
        <v>4</v>
      </c>
      <c r="B7" s="11">
        <f>VLOOKUP(Task_2!$A7, Dataset!$A$2:$X$40, MATCH(Task_2!B$5,Dataset!$A$1:$X$1, 0), FALSE)</f>
        <v>2.7</v>
      </c>
      <c r="C7" s="11">
        <f>VLOOKUP(Task_2!$A7, Dataset!$A$2:$X$40, MATCH(Task_2!C$5,Dataset!$A$1:$X$1, 0), FALSE)</f>
        <v>7.6</v>
      </c>
      <c r="D7" s="11">
        <f>VLOOKUP(Task_2!$A7, Dataset!$A$2:$X$40, MATCH(Task_2!D$5,Dataset!$A$1:$X$1, 0), FALSE)</f>
        <v>4.2</v>
      </c>
      <c r="E7" s="11">
        <f>VLOOKUP(Task_2!$A7, Dataset!$A$2:$X$40, MATCH(Task_2!E$5,Dataset!$A$1:$X$1, 0), FALSE)</f>
        <v>8.9</v>
      </c>
      <c r="F7" s="11">
        <f>VLOOKUP(Task_2!$A7, Dataset!$A$2:$X$40, MATCH(Task_2!F$5,Dataset!$A$1:$X$1, 0), FALSE)</f>
        <v>4.2</v>
      </c>
    </row>
    <row r="8" spans="1:7" ht="15" x14ac:dyDescent="0.25">
      <c r="A8" s="7" t="s">
        <v>7</v>
      </c>
      <c r="B8" s="11">
        <f>VLOOKUP(Task_2!$A8, Dataset!$A$2:$X$40, MATCH(Task_2!B$5,Dataset!$A$1:$X$1, 0), FALSE)</f>
        <v>3.6</v>
      </c>
      <c r="C8" s="11">
        <f>VLOOKUP(Task_2!$A8, Dataset!$A$2:$X$40, MATCH(Task_2!C$5,Dataset!$A$1:$X$1, 0), FALSE)</f>
        <v>11.1</v>
      </c>
      <c r="D8" s="11">
        <f>VLOOKUP(Task_2!$A8, Dataset!$A$2:$X$40, MATCH(Task_2!D$5,Dataset!$A$1:$X$1, 0), FALSE)</f>
        <v>5.8</v>
      </c>
      <c r="E8" s="11">
        <f>VLOOKUP(Task_2!$A8, Dataset!$A$2:$X$40, MATCH(Task_2!E$5,Dataset!$A$1:$X$1, 0), FALSE)</f>
        <v>12.2</v>
      </c>
      <c r="F8" s="11">
        <f>VLOOKUP(Task_2!$A8, Dataset!$A$2:$X$40, MATCH(Task_2!F$5,Dataset!$A$1:$X$1, 0), FALSE)</f>
        <v>5.8</v>
      </c>
    </row>
    <row r="9" spans="1:7" ht="15" x14ac:dyDescent="0.25">
      <c r="A9" s="7" t="s">
        <v>8</v>
      </c>
      <c r="B9" s="11">
        <f>VLOOKUP(Task_2!$A9, Dataset!$A$2:$X$40, MATCH(Task_2!B$5,Dataset!$A$1:$X$1, 0), FALSE)</f>
        <v>4.9000000000000004</v>
      </c>
      <c r="C9" s="11">
        <f>VLOOKUP(Task_2!$A9, Dataset!$A$2:$X$40, MATCH(Task_2!C$5,Dataset!$A$1:$X$1, 0), FALSE)</f>
        <v>13.3</v>
      </c>
      <c r="D9" s="11">
        <f>VLOOKUP(Task_2!$A9, Dataset!$A$2:$X$40, MATCH(Task_2!D$5,Dataset!$A$1:$X$1, 0), FALSE)</f>
        <v>8.1</v>
      </c>
      <c r="E9" s="11">
        <f>VLOOKUP(Task_2!$A9, Dataset!$A$2:$X$40, MATCH(Task_2!E$5,Dataset!$A$1:$X$1, 0), FALSE)</f>
        <v>17</v>
      </c>
      <c r="F9" s="11">
        <f>VLOOKUP(Task_2!$A9, Dataset!$A$2:$X$40, MATCH(Task_2!F$5,Dataset!$A$1:$X$1, 0), FALSE)</f>
        <v>8.1</v>
      </c>
    </row>
    <row r="10" spans="1:7" ht="15" x14ac:dyDescent="0.25">
      <c r="A10" s="7" t="s">
        <v>11</v>
      </c>
      <c r="B10" s="11">
        <f>VLOOKUP(Task_2!$A10, Dataset!$A$2:$X$40, MATCH(Task_2!B$5,Dataset!$A$1:$X$1, 0), FALSE)</f>
        <v>9.4</v>
      </c>
      <c r="C10" s="11">
        <f>VLOOKUP(Task_2!$A10, Dataset!$A$2:$X$40, MATCH(Task_2!C$5,Dataset!$A$1:$X$1, 0), FALSE)</f>
        <v>28.3</v>
      </c>
      <c r="D10" s="11">
        <f>VLOOKUP(Task_2!$A10, Dataset!$A$2:$X$40, MATCH(Task_2!D$5,Dataset!$A$1:$X$1, 0), FALSE)</f>
        <v>16.100000000000001</v>
      </c>
      <c r="E10" s="11">
        <f>VLOOKUP(Task_2!$A10, Dataset!$A$2:$X$40, MATCH(Task_2!E$5,Dataset!$A$1:$X$1, 0), FALSE)</f>
        <v>32.799999999999997</v>
      </c>
      <c r="F10" s="11">
        <f>VLOOKUP(Task_2!$A10, Dataset!$A$2:$X$40, MATCH(Task_2!F$5,Dataset!$A$1:$X$1, 0), FALSE)</f>
        <v>16.100000000000001</v>
      </c>
    </row>
    <row r="11" spans="1:7" ht="15" x14ac:dyDescent="0.25">
      <c r="A11" s="7" t="s">
        <v>12</v>
      </c>
      <c r="B11" s="11">
        <f>VLOOKUP(Task_2!$A11, Dataset!$A$2:$X$40, MATCH(Task_2!B$5,Dataset!$A$1:$X$1, 0), FALSE)</f>
        <v>11.6</v>
      </c>
      <c r="C11" s="11">
        <f>VLOOKUP(Task_2!$A11, Dataset!$A$2:$X$40, MATCH(Task_2!C$5,Dataset!$A$1:$X$1, 0), FALSE)</f>
        <v>35.200000000000003</v>
      </c>
      <c r="D11" s="11">
        <f>VLOOKUP(Task_2!$A11, Dataset!$A$2:$X$40, MATCH(Task_2!D$5,Dataset!$A$1:$X$1, 0), FALSE)</f>
        <v>21.3</v>
      </c>
      <c r="E11" s="11">
        <f>VLOOKUP(Task_2!$A11, Dataset!$A$2:$X$40, MATCH(Task_2!E$5,Dataset!$A$1:$X$1, 0), FALSE)</f>
        <v>43</v>
      </c>
      <c r="F11" s="11">
        <f>VLOOKUP(Task_2!$A11, Dataset!$A$2:$X$40, MATCH(Task_2!F$5,Dataset!$A$1:$X$1, 0), FALSE)</f>
        <v>21.3</v>
      </c>
    </row>
    <row r="12" spans="1:7" ht="15" x14ac:dyDescent="0.25">
      <c r="A12" s="7" t="s">
        <v>14</v>
      </c>
      <c r="B12" s="11">
        <f>VLOOKUP(Task_2!$A12, Dataset!$A$2:$X$40, MATCH(Task_2!B$5,Dataset!$A$1:$X$1, 0), FALSE)</f>
        <v>18.399999999999999</v>
      </c>
      <c r="C12" s="11">
        <f>VLOOKUP(Task_2!$A12, Dataset!$A$2:$X$40, MATCH(Task_2!C$5,Dataset!$A$1:$X$1, 0), FALSE)</f>
        <v>55.6</v>
      </c>
      <c r="D12" s="11">
        <f>VLOOKUP(Task_2!$A12, Dataset!$A$2:$X$40, MATCH(Task_2!D$5,Dataset!$A$1:$X$1, 0), FALSE)</f>
        <v>33.799999999999997</v>
      </c>
      <c r="E12" s="11">
        <f>VLOOKUP(Task_2!$A12, Dataset!$A$2:$X$40, MATCH(Task_2!E$5,Dataset!$A$1:$X$1, 0), FALSE)</f>
        <v>67.900000000000006</v>
      </c>
      <c r="F12" s="11">
        <f>VLOOKUP(Task_2!$A12, Dataset!$A$2:$X$40, MATCH(Task_2!F$5,Dataset!$A$1:$X$1, 0), FALSE)</f>
        <v>33.799999999999997</v>
      </c>
    </row>
    <row r="13" spans="1:7" ht="15" x14ac:dyDescent="0.25">
      <c r="A13" s="7" t="s">
        <v>15</v>
      </c>
      <c r="B13" s="11">
        <f>VLOOKUP(Task_2!$A13, Dataset!$A$2:$X$40, MATCH(Task_2!B$5,Dataset!$A$1:$X$1, 0), FALSE)</f>
        <v>0</v>
      </c>
      <c r="C13" s="11">
        <f>VLOOKUP(Task_2!$A13, Dataset!$A$2:$X$40, MATCH(Task_2!C$5,Dataset!$A$1:$X$1, 0), FALSE)</f>
        <v>0</v>
      </c>
      <c r="D13" s="11">
        <f>VLOOKUP(Task_2!$A13, Dataset!$A$2:$X$40, MATCH(Task_2!D$5,Dataset!$A$1:$X$1, 0), FALSE)</f>
        <v>0</v>
      </c>
      <c r="E13" s="11">
        <f>VLOOKUP(Task_2!$A13, Dataset!$A$2:$X$40, MATCH(Task_2!E$5,Dataset!$A$1:$X$1, 0), FALSE)</f>
        <v>0</v>
      </c>
      <c r="F13" s="11">
        <f>VLOOKUP(Task_2!$A13, Dataset!$A$2:$X$40, MATCH(Task_2!F$5,Dataset!$A$1:$X$1, 0), FALSE)</f>
        <v>0</v>
      </c>
    </row>
    <row r="14" spans="1:7" ht="15" x14ac:dyDescent="0.25">
      <c r="A14" s="7" t="s">
        <v>16</v>
      </c>
      <c r="B14" s="11">
        <f>VLOOKUP(Task_2!$A14, Dataset!$A$2:$X$40, MATCH(Task_2!B$5,Dataset!$A$1:$X$1, 0), FALSE)</f>
        <v>21.9</v>
      </c>
      <c r="C14" s="11">
        <f>VLOOKUP(Task_2!$A14, Dataset!$A$2:$X$40, MATCH(Task_2!C$5,Dataset!$A$1:$X$1, 0), FALSE)</f>
        <v>61.5</v>
      </c>
      <c r="D14" s="11">
        <f>VLOOKUP(Task_2!$A14, Dataset!$A$2:$X$40, MATCH(Task_2!D$5,Dataset!$A$1:$X$1, 0), FALSE)</f>
        <v>40.1</v>
      </c>
      <c r="E14" s="11">
        <f>VLOOKUP(Task_2!$A14, Dataset!$A$2:$X$40, MATCH(Task_2!E$5,Dataset!$A$1:$X$1, 0), FALSE)</f>
        <v>76.599999999999994</v>
      </c>
      <c r="F14" s="11">
        <f>VLOOKUP(Task_2!$A14, Dataset!$A$2:$X$40, MATCH(Task_2!F$5,Dataset!$A$1:$X$1, 0), FALSE)</f>
        <v>40.1</v>
      </c>
    </row>
    <row r="15" spans="1:7" ht="15" x14ac:dyDescent="0.25">
      <c r="A15" s="7" t="s">
        <v>18</v>
      </c>
      <c r="B15" s="11">
        <f>VLOOKUP(Task_2!$A15, Dataset!$A$2:$X$40, MATCH(Task_2!B$5,Dataset!$A$1:$X$1, 0), FALSE)</f>
        <v>26.8</v>
      </c>
      <c r="C15" s="11">
        <f>VLOOKUP(Task_2!$A15, Dataset!$A$2:$X$40, MATCH(Task_2!C$5,Dataset!$A$1:$X$1, 0), FALSE)</f>
        <v>79.599999999999994</v>
      </c>
      <c r="D15" s="11">
        <f>VLOOKUP(Task_2!$A15, Dataset!$A$2:$X$40, MATCH(Task_2!D$5,Dataset!$A$1:$X$1, 0), FALSE)</f>
        <v>47.9</v>
      </c>
      <c r="E15" s="11">
        <f>VLOOKUP(Task_2!$A15, Dataset!$A$2:$X$40, MATCH(Task_2!E$5,Dataset!$A$1:$X$1, 0), FALSE)</f>
        <v>96.8</v>
      </c>
      <c r="F15" s="11">
        <f>VLOOKUP(Task_2!$A15, Dataset!$A$2:$X$40, MATCH(Task_2!F$5,Dataset!$A$1:$X$1, 0), FALSE)</f>
        <v>47.9</v>
      </c>
    </row>
    <row r="16" spans="1:7" ht="15" x14ac:dyDescent="0.25">
      <c r="A16" s="7" t="s">
        <v>20</v>
      </c>
      <c r="B16" s="11">
        <f>VLOOKUP(Task_2!$A16, Dataset!$A$2:$X$40, MATCH(Task_2!B$5,Dataset!$A$1:$X$1, 0), FALSE)</f>
        <v>28.5</v>
      </c>
      <c r="C16" s="11">
        <f>VLOOKUP(Task_2!$A16, Dataset!$A$2:$X$40, MATCH(Task_2!C$5,Dataset!$A$1:$X$1, 0), FALSE)</f>
        <v>85.4</v>
      </c>
      <c r="D16" s="11">
        <f>VLOOKUP(Task_2!$A16, Dataset!$A$2:$X$40, MATCH(Task_2!D$5,Dataset!$A$1:$X$1, 0), FALSE)</f>
        <v>52.3</v>
      </c>
      <c r="E16" s="11">
        <f>VLOOKUP(Task_2!$A16, Dataset!$A$2:$X$40, MATCH(Task_2!E$5,Dataset!$A$1:$X$1, 0), FALSE)</f>
        <v>106.1</v>
      </c>
      <c r="F16" s="11">
        <f>VLOOKUP(Task_2!$A16, Dataset!$A$2:$X$40, MATCH(Task_2!F$5,Dataset!$A$1:$X$1, 0), FALSE)</f>
        <v>52.3</v>
      </c>
    </row>
    <row r="17" spans="1:6" ht="15" x14ac:dyDescent="0.25">
      <c r="A17" s="7" t="s">
        <v>22</v>
      </c>
      <c r="B17" s="11">
        <f>VLOOKUP(Task_2!$A17, Dataset!$A$2:$X$40, MATCH(Task_2!B$5,Dataset!$A$1:$X$1, 0), FALSE)</f>
        <v>30.7</v>
      </c>
      <c r="C17" s="11">
        <f>VLOOKUP(Task_2!$A17, Dataset!$A$2:$X$40, MATCH(Task_2!C$5,Dataset!$A$1:$X$1, 0), FALSE)</f>
        <v>92.1</v>
      </c>
      <c r="D17" s="11">
        <f>VLOOKUP(Task_2!$A17, Dataset!$A$2:$X$40, MATCH(Task_2!D$5,Dataset!$A$1:$X$1, 0), FALSE)</f>
        <v>57</v>
      </c>
      <c r="E17" s="11">
        <f>VLOOKUP(Task_2!$A17, Dataset!$A$2:$X$40, MATCH(Task_2!E$5,Dataset!$A$1:$X$1, 0), FALSE)</f>
        <v>115.1</v>
      </c>
      <c r="F17" s="11">
        <f>VLOOKUP(Task_2!$A17, Dataset!$A$2:$X$40, MATCH(Task_2!F$5,Dataset!$A$1:$X$1, 0), FALSE)</f>
        <v>57</v>
      </c>
    </row>
    <row r="18" spans="1:6" ht="15" x14ac:dyDescent="0.25">
      <c r="A18" s="7" t="s">
        <v>23</v>
      </c>
      <c r="B18" s="11">
        <f>VLOOKUP(Task_2!$A18, Dataset!$A$2:$X$40, MATCH(Task_2!B$5,Dataset!$A$1:$X$1, 0), FALSE)</f>
        <v>33.799999999999997</v>
      </c>
      <c r="C18" s="11">
        <f>VLOOKUP(Task_2!$A18, Dataset!$A$2:$X$40, MATCH(Task_2!C$5,Dataset!$A$1:$X$1, 0), FALSE)</f>
        <v>101.3</v>
      </c>
      <c r="D18" s="11">
        <f>VLOOKUP(Task_2!$A18, Dataset!$A$2:$X$40, MATCH(Task_2!D$5,Dataset!$A$1:$X$1, 0), FALSE)</f>
        <v>61.4</v>
      </c>
      <c r="E18" s="11">
        <f>VLOOKUP(Task_2!$A18, Dataset!$A$2:$X$40, MATCH(Task_2!E$5,Dataset!$A$1:$X$1, 0), FALSE)</f>
        <v>124.4</v>
      </c>
      <c r="F18" s="11">
        <f>VLOOKUP(Task_2!$A18, Dataset!$A$2:$X$40, MATCH(Task_2!F$5,Dataset!$A$1:$X$1, 0), FALSE)</f>
        <v>61.4</v>
      </c>
    </row>
    <row r="19" spans="1:6" ht="15" x14ac:dyDescent="0.25">
      <c r="A19" s="7" t="s">
        <v>24</v>
      </c>
      <c r="B19" s="11">
        <f>VLOOKUP(Task_2!$A19, Dataset!$A$2:$X$40, MATCH(Task_2!B$5,Dataset!$A$1:$X$1, 0), FALSE)</f>
        <v>34.700000000000003</v>
      </c>
      <c r="C19" s="11">
        <f>VLOOKUP(Task_2!$A19, Dataset!$A$2:$X$40, MATCH(Task_2!C$5,Dataset!$A$1:$X$1, 0), FALSE)</f>
        <v>106.1</v>
      </c>
      <c r="D19" s="11">
        <f>VLOOKUP(Task_2!$A19, Dataset!$A$2:$X$40, MATCH(Task_2!D$5,Dataset!$A$1:$X$1, 0), FALSE)</f>
        <v>63.6</v>
      </c>
      <c r="E19" s="11">
        <f>VLOOKUP(Task_2!$A19, Dataset!$A$2:$X$40, MATCH(Task_2!E$5,Dataset!$A$1:$X$1, 0), FALSE)</f>
        <v>128.6</v>
      </c>
      <c r="F19" s="11">
        <f>VLOOKUP(Task_2!$A19, Dataset!$A$2:$X$40, MATCH(Task_2!F$5,Dataset!$A$1:$X$1, 0), FALSE)</f>
        <v>63.6</v>
      </c>
    </row>
    <row r="20" spans="1:6" ht="15" x14ac:dyDescent="0.25">
      <c r="A20" s="7" t="s">
        <v>28</v>
      </c>
      <c r="B20" s="11">
        <f>VLOOKUP(Task_2!$A20, Dataset!$A$2:$X$40, MATCH(Task_2!B$5,Dataset!$A$1:$X$1, 0), FALSE)</f>
        <v>0</v>
      </c>
      <c r="C20" s="11">
        <f>VLOOKUP(Task_2!$A20, Dataset!$A$2:$X$40, MATCH(Task_2!C$5,Dataset!$A$1:$X$1, 0), FALSE)</f>
        <v>0</v>
      </c>
      <c r="D20" s="11">
        <f>VLOOKUP(Task_2!$A20, Dataset!$A$2:$X$40, MATCH(Task_2!D$5,Dataset!$A$1:$X$1, 0), FALSE)</f>
        <v>0</v>
      </c>
      <c r="E20" s="11">
        <f>VLOOKUP(Task_2!$A20, Dataset!$A$2:$X$40, MATCH(Task_2!E$5,Dataset!$A$1:$X$1, 0), FALSE)</f>
        <v>0</v>
      </c>
      <c r="F20" s="11">
        <f>VLOOKUP(Task_2!$A20, Dataset!$A$2:$X$40, MATCH(Task_2!F$5,Dataset!$A$1:$X$1, 0), FALSE)</f>
        <v>0</v>
      </c>
    </row>
    <row r="21" spans="1:6" ht="15" x14ac:dyDescent="0.25">
      <c r="A21" s="7" t="s">
        <v>57</v>
      </c>
      <c r="B21" s="11">
        <f>VLOOKUP(Task_2!$A21, Dataset!$A$2:$X$40, MATCH(Task_2!B$5,Dataset!$A$1:$X$1, 0), FALSE)</f>
        <v>41.3</v>
      </c>
      <c r="C21" s="11">
        <f>VLOOKUP(Task_2!$A21, Dataset!$A$2:$X$40, MATCH(Task_2!C$5,Dataset!$A$1:$X$1, 0), FALSE)</f>
        <v>124.4</v>
      </c>
      <c r="D21" s="11">
        <f>VLOOKUP(Task_2!$A21, Dataset!$A$2:$X$40, MATCH(Task_2!D$5,Dataset!$A$1:$X$1, 0), FALSE)</f>
        <v>75</v>
      </c>
      <c r="E21" s="11">
        <f>VLOOKUP(Task_2!$A21, Dataset!$A$2:$X$40, MATCH(Task_2!E$5,Dataset!$A$1:$X$1, 0), FALSE)</f>
        <v>151.5</v>
      </c>
      <c r="F21" s="11">
        <f>VLOOKUP(Task_2!$A21, Dataset!$A$2:$X$40, MATCH(Task_2!F$5,Dataset!$A$1:$X$1, 0), FALSE)</f>
        <v>75</v>
      </c>
    </row>
    <row r="22" spans="1:6" ht="15" x14ac:dyDescent="0.25">
      <c r="A22" s="7" t="s">
        <v>58</v>
      </c>
      <c r="B22" s="11">
        <f>VLOOKUP(Task_2!$A22, Dataset!$A$2:$X$40, MATCH(Task_2!B$5,Dataset!$A$1:$X$1, 0), FALSE)</f>
        <v>-1</v>
      </c>
      <c r="C22" s="11">
        <f>VLOOKUP(Task_2!$A22, Dataset!$A$2:$X$40, MATCH(Task_2!C$5,Dataset!$A$1:$X$1, 0), FALSE)</f>
        <v>-1</v>
      </c>
      <c r="D22" s="11">
        <f>VLOOKUP(Task_2!$A22, Dataset!$A$2:$X$40, MATCH(Task_2!D$5,Dataset!$A$1:$X$1, 0), FALSE)</f>
        <v>-1</v>
      </c>
      <c r="E22" s="11">
        <f>VLOOKUP(Task_2!$A22, Dataset!$A$2:$X$40, MATCH(Task_2!E$5,Dataset!$A$1:$X$1, 0), FALSE)</f>
        <v>-1</v>
      </c>
      <c r="F22" s="11">
        <f>VLOOKUP(Task_2!$A22, Dataset!$A$2:$X$40, MATCH(Task_2!F$5,Dataset!$A$1:$X$1, 0), FALSE)</f>
        <v>-1</v>
      </c>
    </row>
    <row r="23" spans="1:6" ht="15" x14ac:dyDescent="0.25">
      <c r="A23" s="7" t="s">
        <v>31</v>
      </c>
      <c r="B23" s="11">
        <f>VLOOKUP(Task_2!$A23, Dataset!$A$2:$X$40, MATCH(Task_2!B$5,Dataset!$A$1:$X$1, 0), FALSE)</f>
        <v>45</v>
      </c>
      <c r="C23" s="11">
        <f>VLOOKUP(Task_2!$A23, Dataset!$A$2:$X$40, MATCH(Task_2!C$5,Dataset!$A$1:$X$1, 0), FALSE)</f>
        <v>133.4</v>
      </c>
      <c r="D23" s="11">
        <f>VLOOKUP(Task_2!$A23, Dataset!$A$2:$X$40, MATCH(Task_2!D$5,Dataset!$A$1:$X$1, 0), FALSE)</f>
        <v>79.400000000000006</v>
      </c>
      <c r="E23" s="11">
        <f>VLOOKUP(Task_2!$A23, Dataset!$A$2:$X$40, MATCH(Task_2!E$5,Dataset!$A$1:$X$1, 0), FALSE)</f>
        <v>160.9</v>
      </c>
      <c r="F23" s="11">
        <f>VLOOKUP(Task_2!$A23, Dataset!$A$2:$X$40, MATCH(Task_2!F$5,Dataset!$A$1:$X$1, 0), FALSE)</f>
        <v>79.400000000000006</v>
      </c>
    </row>
    <row r="24" spans="1:6" ht="15" x14ac:dyDescent="0.25">
      <c r="A24" s="7" t="s">
        <v>32</v>
      </c>
      <c r="B24" s="11">
        <f>VLOOKUP(Task_2!$A24, Dataset!$A$2:$X$40, MATCH(Task_2!B$5,Dataset!$A$1:$X$1, 0), FALSE)</f>
        <v>-1</v>
      </c>
      <c r="C24" s="11">
        <f>VLOOKUP(Task_2!$A24, Dataset!$A$2:$X$40, MATCH(Task_2!C$5,Dataset!$A$1:$X$1, 0), FALSE)</f>
        <v>-1</v>
      </c>
      <c r="D24" s="11">
        <f>VLOOKUP(Task_2!$A24, Dataset!$A$2:$X$40, MATCH(Task_2!D$5,Dataset!$A$1:$X$1, 0), FALSE)</f>
        <v>-1</v>
      </c>
      <c r="E24" s="11">
        <f>VLOOKUP(Task_2!$A24, Dataset!$A$2:$X$40, MATCH(Task_2!E$5,Dataset!$A$1:$X$1, 0), FALSE)</f>
        <v>-1</v>
      </c>
      <c r="F24" s="11">
        <f>VLOOKUP(Task_2!$A24, Dataset!$A$2:$X$40, MATCH(Task_2!F$5,Dataset!$A$1:$X$1, 0), FALSE)</f>
        <v>-1</v>
      </c>
    </row>
    <row r="25" spans="1:6" ht="15" x14ac:dyDescent="0.25">
      <c r="A25" s="7" t="s">
        <v>34</v>
      </c>
      <c r="B25" s="11">
        <f>VLOOKUP(Task_2!$A25, Dataset!$A$2:$X$40, MATCH(Task_2!B$5,Dataset!$A$1:$X$1, 0), FALSE)</f>
        <v>43.3</v>
      </c>
      <c r="C25" s="11">
        <f>VLOOKUP(Task_2!$A25, Dataset!$A$2:$X$40, MATCH(Task_2!C$5,Dataset!$A$1:$X$1, 0), FALSE)</f>
        <v>128.6</v>
      </c>
      <c r="D25" s="11">
        <f>VLOOKUP(Task_2!$A25, Dataset!$A$2:$X$40, MATCH(Task_2!D$5,Dataset!$A$1:$X$1, 0), FALSE)</f>
        <v>79.400000000000006</v>
      </c>
      <c r="E25" s="11">
        <f>VLOOKUP(Task_2!$A25, Dataset!$A$2:$X$40, MATCH(Task_2!E$5,Dataset!$A$1:$X$1, 0), FALSE)</f>
        <v>160.9</v>
      </c>
      <c r="F25" s="11">
        <f>VLOOKUP(Task_2!$A25, Dataset!$A$2:$X$40, MATCH(Task_2!F$5,Dataset!$A$1:$X$1, 0), FALSE)</f>
        <v>79.400000000000006</v>
      </c>
    </row>
    <row r="26" spans="1:6" ht="15" x14ac:dyDescent="0.25">
      <c r="A26" s="7" t="s">
        <v>37</v>
      </c>
      <c r="B26" s="11">
        <f>VLOOKUP(Task_2!$A26, Dataset!$A$2:$X$40, MATCH(Task_2!B$5,Dataset!$A$1:$X$1, 0), FALSE)</f>
        <v>49.1</v>
      </c>
      <c r="C26" s="11">
        <f>VLOOKUP(Task_2!$A26, Dataset!$A$2:$X$40, MATCH(Task_2!C$5,Dataset!$A$1:$X$1, 0), FALSE)</f>
        <v>146.80000000000001</v>
      </c>
      <c r="D26" s="11">
        <f>VLOOKUP(Task_2!$A26, Dataset!$A$2:$X$40, MATCH(Task_2!D$5,Dataset!$A$1:$X$1, 0), FALSE)</f>
        <v>90.9</v>
      </c>
      <c r="E26" s="11">
        <f>VLOOKUP(Task_2!$A26, Dataset!$A$2:$X$40, MATCH(Task_2!E$5,Dataset!$A$1:$X$1, 0), FALSE)</f>
        <v>183.5</v>
      </c>
      <c r="F26" s="11">
        <f>VLOOKUP(Task_2!$A26, Dataset!$A$2:$X$40, MATCH(Task_2!F$5,Dataset!$A$1:$X$1, 0), FALSE)</f>
        <v>90.9</v>
      </c>
    </row>
    <row r="27" spans="1:6" ht="15" x14ac:dyDescent="0.25">
      <c r="A27" s="7" t="s">
        <v>39</v>
      </c>
      <c r="B27" s="11">
        <f>VLOOKUP(Task_2!$A27, Dataset!$A$2:$X$40, MATCH(Task_2!B$5,Dataset!$A$1:$X$1, 0), FALSE)</f>
        <v>51.8</v>
      </c>
      <c r="C27" s="11">
        <f>VLOOKUP(Task_2!$A27, Dataset!$A$2:$X$40, MATCH(Task_2!C$5,Dataset!$A$1:$X$1, 0), FALSE)</f>
        <v>156.4</v>
      </c>
      <c r="D27" s="11">
        <f>VLOOKUP(Task_2!$A27, Dataset!$A$2:$X$40, MATCH(Task_2!D$5,Dataset!$A$1:$X$1, 0), FALSE)</f>
        <v>93.1</v>
      </c>
      <c r="E27" s="11">
        <f>VLOOKUP(Task_2!$A27, Dataset!$A$2:$X$40, MATCH(Task_2!E$5,Dataset!$A$1:$X$1, 0), FALSE)</f>
        <v>188.1</v>
      </c>
      <c r="F27" s="11">
        <f>VLOOKUP(Task_2!$A27, Dataset!$A$2:$X$40, MATCH(Task_2!F$5,Dataset!$A$1:$X$1, 0), FALSE)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" zoomScaleNormal="100" workbookViewId="0">
      <selection activeCell="L13" sqref="L13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/>
    </row>
    <row r="6" spans="1:10" ht="18.75" x14ac:dyDescent="0.3">
      <c r="A6" s="41" t="s">
        <v>153</v>
      </c>
      <c r="B6" s="38"/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B7" sqref="B7"/>
    </sheetView>
  </sheetViews>
  <sheetFormatPr defaultColWidth="11" defaultRowHeight="12.75" x14ac:dyDescent="0.2"/>
  <cols>
    <col min="1" max="1" width="33.5" style="2" customWidth="1"/>
    <col min="2" max="2" width="78.5" style="2" customWidth="1"/>
    <col min="3" max="3" width="41.83203125" style="2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26.25" x14ac:dyDescent="0.4">
      <c r="A6" s="3" t="s">
        <v>53</v>
      </c>
      <c r="B6" s="46" t="s">
        <v>181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47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5" sqref="C5"/>
    </sheetView>
  </sheetViews>
  <sheetFormatPr defaultColWidth="11" defaultRowHeight="12.75" x14ac:dyDescent="0.2"/>
  <cols>
    <col min="1" max="1" width="28.1640625" style="2" bestFit="1" customWidth="1"/>
    <col min="2" max="2" width="11" style="2"/>
    <col min="3" max="3" width="111.1640625" style="2" customWidth="1"/>
    <col min="4" max="7" width="11" style="2"/>
    <col min="8" max="8" width="15.33203125" style="2" customWidth="1"/>
    <col min="9" max="16384" width="11" style="2"/>
  </cols>
  <sheetData>
    <row r="1" spans="1:14" ht="21" x14ac:dyDescent="0.35">
      <c r="A1" s="40" t="s">
        <v>98</v>
      </c>
      <c r="B1" s="39" t="s">
        <v>175</v>
      </c>
    </row>
    <row r="2" spans="1:14" ht="31.5" customHeight="1" x14ac:dyDescent="0.2"/>
    <row r="3" spans="1:14" ht="70.5" customHeight="1" x14ac:dyDescent="0.25">
      <c r="B3" s="1" t="s">
        <v>151</v>
      </c>
    </row>
    <row r="4" spans="1:14" ht="129" customHeight="1" x14ac:dyDescent="0.5">
      <c r="A4" s="41" t="s">
        <v>53</v>
      </c>
      <c r="B4" s="1"/>
      <c r="C4" s="48" t="s">
        <v>183</v>
      </c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>
        <f>VLOOKUP(INDEX($N$10:$N$18, MATCH(A23, $M$10:$M$18, 0)), $A$10:$J$18, MATCH(INDEX($N$10:$N$18, MATCH(B23, $M$10:$M$18, 0)),$B$9:$J$9,0),FALSE)</f>
        <v>-1</v>
      </c>
    </row>
    <row r="24" spans="1:14" ht="15" x14ac:dyDescent="0.25">
      <c r="A24" s="7">
        <v>10100</v>
      </c>
      <c r="B24" s="11">
        <v>10104</v>
      </c>
      <c r="C24" s="42">
        <f t="shared" ref="C24:C35" si="0">VLOOKUP(INDEX($N$10:$N$18, MATCH(A24, $M$10:$M$18, 0)), $A$10:$J$18, MATCH(INDEX($N$10:$N$18, MATCH(B24, $M$10:$M$18, 0)),$B$9:$J$9,0),FALSE)</f>
        <v>95</v>
      </c>
    </row>
    <row r="25" spans="1:14" ht="15" x14ac:dyDescent="0.25">
      <c r="A25" s="7">
        <v>10108</v>
      </c>
      <c r="B25" s="11">
        <v>10102</v>
      </c>
      <c r="C25" s="42">
        <f t="shared" si="0"/>
        <v>255</v>
      </c>
    </row>
    <row r="26" spans="1:14" ht="15" x14ac:dyDescent="0.25">
      <c r="A26" s="7">
        <v>10100</v>
      </c>
      <c r="B26" s="11">
        <v>10106</v>
      </c>
      <c r="C26" s="42">
        <f t="shared" si="0"/>
        <v>-1</v>
      </c>
    </row>
    <row r="27" spans="1:14" ht="15" x14ac:dyDescent="0.25">
      <c r="A27" s="7">
        <v>10108</v>
      </c>
      <c r="B27" s="11">
        <v>10110</v>
      </c>
      <c r="C27" s="42">
        <f t="shared" si="0"/>
        <v>-1</v>
      </c>
    </row>
    <row r="28" spans="1:14" ht="15" x14ac:dyDescent="0.25">
      <c r="A28" s="7">
        <v>10102</v>
      </c>
      <c r="B28" s="11">
        <v>10104</v>
      </c>
      <c r="C28" s="42">
        <f t="shared" si="0"/>
        <v>-1</v>
      </c>
    </row>
    <row r="29" spans="1:14" ht="15" x14ac:dyDescent="0.25">
      <c r="A29" s="7">
        <v>10106</v>
      </c>
      <c r="B29" s="11">
        <v>10108</v>
      </c>
      <c r="C29" s="42">
        <f t="shared" si="0"/>
        <v>-1</v>
      </c>
    </row>
    <row r="30" spans="1:14" ht="15" x14ac:dyDescent="0.25">
      <c r="A30" s="7">
        <v>10102</v>
      </c>
      <c r="B30" s="11">
        <v>10106</v>
      </c>
      <c r="C30" s="42">
        <f t="shared" si="0"/>
        <v>-1</v>
      </c>
    </row>
    <row r="31" spans="1:14" ht="15" x14ac:dyDescent="0.25">
      <c r="A31" s="7">
        <v>10110</v>
      </c>
      <c r="B31" s="11">
        <v>10114</v>
      </c>
      <c r="C31" s="42">
        <f t="shared" si="0"/>
        <v>115</v>
      </c>
    </row>
    <row r="32" spans="1:14" ht="15" x14ac:dyDescent="0.25">
      <c r="A32" s="7">
        <v>10104</v>
      </c>
      <c r="B32" s="11">
        <v>10106</v>
      </c>
      <c r="C32" s="42">
        <f t="shared" si="0"/>
        <v>-1</v>
      </c>
    </row>
    <row r="33" spans="1:3" ht="15" x14ac:dyDescent="0.25">
      <c r="A33" s="7">
        <v>10110</v>
      </c>
      <c r="B33" s="11">
        <v>10112</v>
      </c>
      <c r="C33" s="42">
        <f t="shared" si="0"/>
        <v>-1</v>
      </c>
    </row>
    <row r="34" spans="1:3" ht="15" x14ac:dyDescent="0.25">
      <c r="A34" s="7">
        <v>10100</v>
      </c>
      <c r="B34" s="11">
        <v>10114</v>
      </c>
      <c r="C34" s="42">
        <f t="shared" si="0"/>
        <v>415</v>
      </c>
    </row>
    <row r="35" spans="1:3" ht="15" x14ac:dyDescent="0.25">
      <c r="A35" s="8">
        <v>10112</v>
      </c>
      <c r="B35" s="12">
        <v>10116</v>
      </c>
      <c r="C35" s="42">
        <f t="shared" si="0"/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Aditya Maurya</cp:lastModifiedBy>
  <dcterms:created xsi:type="dcterms:W3CDTF">2015-02-10T17:33:11Z</dcterms:created>
  <dcterms:modified xsi:type="dcterms:W3CDTF">2023-12-10T10:02:23Z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2023-12-10T10:02:23Z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4f800d1e-1b77-4da8-8d6e-722f88f6f02a</vt:lpwstr>
  </property>
  <property fmtid="{D5CDD505-2E9C-101B-9397-08002B2CF9AE}" pid="7" name="MSIP_Label_defa4170-0d19-0005-0004-bc88714345d2_ActionId">
    <vt:lpwstr>59782bf2-d2b1-4855-bcb2-6a43336083af</vt:lpwstr>
  </property>
  <property fmtid="{D5CDD505-2E9C-101B-9397-08002B2CF9AE}" pid="8" name="MSIP_Label_defa4170-0d19-0005-0004-bc88714345d2_ContentBits">
    <vt:lpwstr>0</vt:lpwstr>
  </property>
</Properties>
</file>